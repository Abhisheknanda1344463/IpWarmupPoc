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0104/Documents/"/>
    </mc:Choice>
  </mc:AlternateContent>
  <xr:revisionPtr revIDLastSave="0" documentId="13_ncr:1_{D236BEF1-19B8-A34C-952D-5B685319B31D}" xr6:coauthVersionLast="47" xr6:coauthVersionMax="47" xr10:uidLastSave="{00000000-0000-0000-0000-000000000000}"/>
  <bookViews>
    <workbookView xWindow="0" yWindow="760" windowWidth="29400" windowHeight="168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G11" i="1"/>
  <c r="B9" i="1" s="1"/>
  <c r="B11" i="1"/>
  <c r="B8" i="1" s="1"/>
  <c r="G9" i="1"/>
  <c r="G7" i="1"/>
  <c r="D61" i="1" s="1"/>
  <c r="B2" i="1"/>
  <c r="C7" i="1" l="1"/>
  <c r="D7" i="1" s="1"/>
  <c r="C14" i="1"/>
  <c r="C19" i="1"/>
  <c r="D14" i="1"/>
  <c r="C11" i="1"/>
  <c r="D11" i="1"/>
  <c r="D16" i="1"/>
  <c r="C2" i="1"/>
  <c r="D2" i="1" s="1"/>
  <c r="C4" i="1"/>
  <c r="D4" i="1" s="1"/>
  <c r="C6" i="1"/>
  <c r="D6" i="1" s="1"/>
  <c r="B7" i="1"/>
  <c r="C9" i="1"/>
  <c r="D9" i="1" s="1"/>
  <c r="C13" i="1"/>
  <c r="C17" i="1"/>
  <c r="C8" i="1"/>
  <c r="D8" i="1" s="1"/>
  <c r="D24" i="1"/>
  <c r="C27" i="1"/>
  <c r="D32" i="1"/>
  <c r="C35" i="1"/>
  <c r="D40" i="1"/>
  <c r="D46" i="1"/>
  <c r="D54" i="1"/>
  <c r="D19" i="1"/>
  <c r="C22" i="1"/>
  <c r="D27" i="1"/>
  <c r="C30" i="1"/>
  <c r="D35" i="1"/>
  <c r="C38" i="1"/>
  <c r="D47" i="1"/>
  <c r="D55" i="1"/>
  <c r="D22" i="1"/>
  <c r="C25" i="1"/>
  <c r="D30" i="1"/>
  <c r="C33" i="1"/>
  <c r="D38" i="1"/>
  <c r="C41" i="1"/>
  <c r="D48" i="1"/>
  <c r="D56" i="1"/>
  <c r="D17" i="1"/>
  <c r="C20" i="1"/>
  <c r="D25" i="1"/>
  <c r="C28" i="1"/>
  <c r="D33" i="1"/>
  <c r="C36" i="1"/>
  <c r="D41" i="1"/>
  <c r="D49" i="1"/>
  <c r="D57" i="1"/>
  <c r="D20" i="1"/>
  <c r="C23" i="1"/>
  <c r="D28" i="1"/>
  <c r="C31" i="1"/>
  <c r="D36" i="1"/>
  <c r="C39" i="1"/>
  <c r="D42" i="1"/>
  <c r="D50" i="1"/>
  <c r="D58" i="1"/>
  <c r="B5" i="1"/>
  <c r="C5" i="1"/>
  <c r="D5" i="1" s="1"/>
  <c r="B10" i="1"/>
  <c r="C12" i="1"/>
  <c r="B3" i="1"/>
  <c r="C10" i="1"/>
  <c r="D10" i="1" s="1"/>
  <c r="D12" i="1"/>
  <c r="C15" i="1"/>
  <c r="C3" i="1"/>
  <c r="D3" i="1" s="1"/>
  <c r="B6" i="1"/>
  <c r="D15" i="1"/>
  <c r="C18" i="1"/>
  <c r="D23" i="1"/>
  <c r="C26" i="1"/>
  <c r="D31" i="1"/>
  <c r="C34" i="1"/>
  <c r="D39" i="1"/>
  <c r="D43" i="1"/>
  <c r="D51" i="1"/>
  <c r="D59" i="1"/>
  <c r="D18" i="1"/>
  <c r="C21" i="1"/>
  <c r="D26" i="1"/>
  <c r="C29" i="1"/>
  <c r="D34" i="1"/>
  <c r="C37" i="1"/>
  <c r="D44" i="1"/>
  <c r="D52" i="1"/>
  <c r="D60" i="1"/>
  <c r="B4" i="1"/>
  <c r="D13" i="1"/>
  <c r="C16" i="1"/>
  <c r="D21" i="1"/>
  <c r="C24" i="1"/>
  <c r="D29" i="1"/>
  <c r="C32" i="1"/>
  <c r="D37" i="1"/>
  <c r="C40" i="1"/>
  <c r="D45" i="1"/>
  <c r="D53" i="1"/>
</calcChain>
</file>

<file path=xl/sharedStrings.xml><?xml version="1.0" encoding="utf-8"?>
<sst xmlns="http://schemas.openxmlformats.org/spreadsheetml/2006/main" count="50" uniqueCount="10">
  <si>
    <t>DAY</t>
  </si>
  <si>
    <t>30 DAY</t>
  </si>
  <si>
    <t>&lt;30</t>
  </si>
  <si>
    <t>&gt;30</t>
  </si>
  <si>
    <t>TARGET VOLUME</t>
  </si>
  <si>
    <t>FACTOR</t>
  </si>
  <si>
    <t>CUSTOM PERIOD</t>
  </si>
  <si>
    <t>MEDIAN</t>
  </si>
  <si>
    <t>TARGET PERIOD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</si>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</sst>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DDDDDD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3" borderId="0" xfId="0" applyFont="1" applyFill="1"/>
    <xf numFmtId="0" fontId="0" fillId="2" borderId="0" xfId="0" applyFill="1"/>
    <xf numFmtId="0" fontId="0" fillId="0" borderId="1" xfId="0" applyBorder="1"/>
    <xf numFmtId="37" fontId="0" fillId="0" borderId="1" xfId="0" applyNumberFormat="1" applyBorder="1"/>
    <xf numFmtId="0" fontId="2" fillId="0" borderId="0" xfId="0" applyFont="1"/>
    <xf numFmtId="3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17" zoomScaleNormal="100" workbookViewId="0">
      <selection activeCell="D36" sqref="D36:D61"/>
    </sheetView>
  </sheetViews>
  <sheetFormatPr baseColWidth="10" defaultColWidth="11.5" defaultRowHeight="13" x14ac:dyDescent="0.15"/>
  <cols>
    <col min="4" max="6" width="16.66406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>
        <v>50000</v>
      </c>
    </row>
    <row r="2" spans="1:7" x14ac:dyDescent="0.15">
      <c r="A2" s="4">
        <v>1</v>
      </c>
      <c r="B2" s="5">
        <f>G11/7</f>
        <v>238.0952380952381</v>
      </c>
      <c r="C2" s="5">
        <f>(G9/7)*G7</f>
        <v>59.523809523809526</v>
      </c>
      <c r="D2" s="5">
        <f t="shared" ref="D2:D10" si="0">C2</f>
        <v>59.523809523809526</v>
      </c>
    </row>
    <row r="3" spans="1:7" x14ac:dyDescent="0.15">
      <c r="A3" s="4">
        <v>2</v>
      </c>
      <c r="B3" s="5">
        <f>G11/6</f>
        <v>277.77777777777777</v>
      </c>
      <c r="C3" s="5">
        <f>(G9/6)*G7</f>
        <v>69.444444444444443</v>
      </c>
      <c r="D3" s="5">
        <f t="shared" si="0"/>
        <v>69.444444444444443</v>
      </c>
    </row>
    <row r="4" spans="1:7" x14ac:dyDescent="0.15">
      <c r="A4" s="4">
        <v>3</v>
      </c>
      <c r="B4" s="5">
        <f>G11/5</f>
        <v>333.33333333333337</v>
      </c>
      <c r="C4" s="5">
        <f>(G9/5)*G7</f>
        <v>83.333333333333343</v>
      </c>
      <c r="D4" s="5">
        <f t="shared" si="0"/>
        <v>83.333333333333343</v>
      </c>
    </row>
    <row r="5" spans="1:7" x14ac:dyDescent="0.15">
      <c r="A5" s="4">
        <v>4</v>
      </c>
      <c r="B5" s="5">
        <f>G11/4</f>
        <v>416.66666666666669</v>
      </c>
      <c r="C5" s="5">
        <f>(G9/4)*G7</f>
        <v>104.16666666666667</v>
      </c>
      <c r="D5" s="5">
        <f t="shared" si="0"/>
        <v>104.16666666666667</v>
      </c>
    </row>
    <row r="6" spans="1:7" x14ac:dyDescent="0.15">
      <c r="A6" s="4">
        <v>5</v>
      </c>
      <c r="B6" s="5">
        <f>G11/3</f>
        <v>555.55555555555554</v>
      </c>
      <c r="C6" s="5">
        <f>(G9/3)*G7</f>
        <v>138.88888888888889</v>
      </c>
      <c r="D6" s="5">
        <f t="shared" si="0"/>
        <v>138.88888888888889</v>
      </c>
      <c r="F6" s="6"/>
      <c r="G6" s="6"/>
    </row>
    <row r="7" spans="1:7" x14ac:dyDescent="0.15">
      <c r="A7" s="4">
        <v>6</v>
      </c>
      <c r="B7" s="5">
        <f>G11/2</f>
        <v>833.33333333333337</v>
      </c>
      <c r="C7" s="5">
        <f>(G9/2)*G7</f>
        <v>208.33333333333334</v>
      </c>
      <c r="D7" s="5">
        <f t="shared" si="0"/>
        <v>208.33333333333334</v>
      </c>
      <c r="F7" s="6" t="s">
        <v>5</v>
      </c>
      <c r="G7" s="6">
        <f>G10/G8</f>
        <v>0.5</v>
      </c>
    </row>
    <row r="8" spans="1:7" x14ac:dyDescent="0.15">
      <c r="A8" s="4">
        <v>7</v>
      </c>
      <c r="B8" s="5">
        <f>B11/1.5</f>
        <v>1333.3333333333333</v>
      </c>
      <c r="C8" s="5">
        <f>(G9/1.5)*G7</f>
        <v>277.77777777777777</v>
      </c>
      <c r="D8" s="5">
        <f t="shared" si="0"/>
        <v>277.77777777777777</v>
      </c>
      <c r="F8" s="2" t="s">
        <v>6</v>
      </c>
      <c r="G8" s="3">
        <v>60</v>
      </c>
    </row>
    <row r="9" spans="1:7" x14ac:dyDescent="0.15">
      <c r="A9" s="4">
        <v>8</v>
      </c>
      <c r="B9" s="5">
        <f>G11/1.2</f>
        <v>1388.8888888888889</v>
      </c>
      <c r="C9" s="5">
        <f>(G9/1.2)*G7</f>
        <v>347.22222222222223</v>
      </c>
      <c r="D9" s="5">
        <f t="shared" si="0"/>
        <v>347.22222222222223</v>
      </c>
      <c r="F9" s="6" t="s">
        <v>7</v>
      </c>
      <c r="G9" s="7">
        <f>G1/G8</f>
        <v>833.33333333333337</v>
      </c>
    </row>
    <row r="10" spans="1:7" x14ac:dyDescent="0.15">
      <c r="A10" s="4">
        <v>9</v>
      </c>
      <c r="B10" s="5">
        <f>G11</f>
        <v>1666.6666666666667</v>
      </c>
      <c r="C10" s="5">
        <f>G9*G7</f>
        <v>416.66666666666669</v>
      </c>
      <c r="D10" s="5">
        <f t="shared" si="0"/>
        <v>416.66666666666669</v>
      </c>
      <c r="F10" s="6" t="s">
        <v>8</v>
      </c>
      <c r="G10" s="6">
        <v>30</v>
      </c>
    </row>
    <row r="11" spans="1:7" x14ac:dyDescent="0.15">
      <c r="A11" s="4">
        <v>10</v>
      </c>
      <c r="B11" s="5">
        <f>(G1/G10)*1.2</f>
        <v>2000</v>
      </c>
      <c r="C11" s="5">
        <f>(((G1/G8)*1.2)*G7)*1.2</f>
        <v>600</v>
      </c>
      <c r="D11" s="5">
        <f>(((G1/G8)*1.2)*G7)</f>
        <v>500</v>
      </c>
      <c r="F11" s="6" t="s">
        <v>7</v>
      </c>
      <c r="G11" s="7">
        <f>G1/G10</f>
        <v>1666.6666666666667</v>
      </c>
    </row>
    <row r="12" spans="1:7" x14ac:dyDescent="0.15">
      <c r="A12" s="4">
        <v>11</v>
      </c>
      <c r="B12" s="5">
        <f>(G1/G10)*1.4</f>
        <v>2333.3333333333335</v>
      </c>
      <c r="C12" s="5">
        <f>(((G1/G8)*1.4)*G7)*1.4</f>
        <v>816.66666666666663</v>
      </c>
      <c r="D12" s="5">
        <f>(((G1/G8)*1.4)*G7)</f>
        <v>583.33333333333337</v>
      </c>
    </row>
    <row r="13" spans="1:7" x14ac:dyDescent="0.15">
      <c r="A13" s="4">
        <v>12</v>
      </c>
      <c r="B13" s="5">
        <f>(G1/G10)*1.8</f>
        <v>3000</v>
      </c>
      <c r="C13" s="5">
        <f>(((G1/G8)*1.8)*G7)*1.8</f>
        <v>1350</v>
      </c>
      <c r="D13" s="5">
        <f>(((G1/G8)*1.6)*G7)</f>
        <v>666.66666666666674</v>
      </c>
    </row>
    <row r="14" spans="1:7" x14ac:dyDescent="0.15">
      <c r="A14" s="4">
        <v>13</v>
      </c>
      <c r="B14" s="5">
        <f>(G1/G10)*2.2</f>
        <v>3666.666666666667</v>
      </c>
      <c r="C14" s="5">
        <f>(((G1/G8)*2.2)*G7)*2.2</f>
        <v>2016.666666666667</v>
      </c>
      <c r="D14" s="5">
        <f>(((G1/G8)*1.8)*G7)</f>
        <v>750</v>
      </c>
    </row>
    <row r="15" spans="1:7" x14ac:dyDescent="0.15">
      <c r="A15" s="4">
        <v>14</v>
      </c>
      <c r="B15" s="5">
        <f>(G1/G10)*2.4</f>
        <v>4000</v>
      </c>
      <c r="C15" s="5">
        <f>(((G1/G8)*2.4)*G7)*2.4</f>
        <v>2400</v>
      </c>
      <c r="D15" s="5">
        <f>(((G1/G8)*2)*G7)</f>
        <v>833.33333333333337</v>
      </c>
    </row>
    <row r="16" spans="1:7" x14ac:dyDescent="0.15">
      <c r="A16" s="4">
        <v>15</v>
      </c>
      <c r="B16" s="5">
        <f>(G1/G10)*2.8</f>
        <v>4666.666666666667</v>
      </c>
      <c r="C16" s="5">
        <f>(((G1/G8)*2.8)*G7)*2.8</f>
        <v>3266.6666666666665</v>
      </c>
      <c r="D16" s="5">
        <f>(((G1/G8)*2.2)*G7)</f>
        <v>916.66666666666674</v>
      </c>
    </row>
    <row r="17" spans="1:4" x14ac:dyDescent="0.15">
      <c r="A17" s="4">
        <v>16</v>
      </c>
      <c r="B17" s="5">
        <f>(G1/G10)*3.2</f>
        <v>5333.3333333333339</v>
      </c>
      <c r="C17" s="5">
        <f>(((G1/G8)*3.2)*G7)*3.2</f>
        <v>4266.666666666667</v>
      </c>
      <c r="D17" s="5">
        <f>(((G1/G8)*2.4)*G7)</f>
        <v>1000</v>
      </c>
    </row>
    <row r="18" spans="1:4" x14ac:dyDescent="0.15">
      <c r="A18" s="4">
        <v>17</v>
      </c>
      <c r="B18" s="5">
        <f>(G1/G10)*3.5</f>
        <v>5833.3333333333339</v>
      </c>
      <c r="C18" s="5">
        <f>(((G1/G8)*3.5)*G7)*3.5</f>
        <v>5104.166666666667</v>
      </c>
      <c r="D18" s="5">
        <f>(((G1/G8)*2.6)*G7)</f>
        <v>1083.3333333333335</v>
      </c>
    </row>
    <row r="19" spans="1:4" x14ac:dyDescent="0.15">
      <c r="A19" s="4">
        <v>18</v>
      </c>
      <c r="B19" s="5">
        <f>(G1/G10)*4</f>
        <v>6666.666666666667</v>
      </c>
      <c r="C19" s="5">
        <f>(((G1/G8)*4)*G7)*4</f>
        <v>6666.666666666667</v>
      </c>
      <c r="D19" s="5">
        <f>(((G1/G8)*2.8)*G7)</f>
        <v>1166.6666666666667</v>
      </c>
    </row>
    <row r="20" spans="1:4" x14ac:dyDescent="0.15">
      <c r="A20" s="4">
        <v>19</v>
      </c>
      <c r="B20" s="5">
        <f>(G1/G10)*4.5</f>
        <v>7500</v>
      </c>
      <c r="C20" s="5">
        <f>(((G1/G8)*4.5)*G7)*4.5</f>
        <v>8437.5</v>
      </c>
      <c r="D20" s="5">
        <f>(((G1/G8)*3)*G7)</f>
        <v>1250</v>
      </c>
    </row>
    <row r="21" spans="1:4" x14ac:dyDescent="0.15">
      <c r="A21" s="4">
        <v>20</v>
      </c>
      <c r="B21" s="5">
        <f>(G1/G10)*5</f>
        <v>8333.3333333333339</v>
      </c>
      <c r="C21" s="5">
        <f>(((G1/G8)*5)*G7)*5</f>
        <v>10416.666666666668</v>
      </c>
      <c r="D21" s="5">
        <f>(((G1/G8)*3.5)*G7)</f>
        <v>1458.3333333333335</v>
      </c>
    </row>
    <row r="22" spans="1:4" x14ac:dyDescent="0.15">
      <c r="A22" s="4">
        <v>21</v>
      </c>
      <c r="B22" s="5">
        <f>(G1/G10)*6</f>
        <v>10000</v>
      </c>
      <c r="C22" s="5">
        <f>(((G1/G8)*6)*G7)*6</f>
        <v>15000</v>
      </c>
      <c r="D22" s="5">
        <f>(((G1/G8)*4)*G7)</f>
        <v>1666.6666666666667</v>
      </c>
    </row>
    <row r="23" spans="1:4" x14ac:dyDescent="0.15">
      <c r="A23" s="4">
        <v>22</v>
      </c>
      <c r="B23" s="5">
        <f>(G1/G10)*7</f>
        <v>11666.666666666668</v>
      </c>
      <c r="C23" s="5">
        <f>(((G1/G8)*7)*G7)*7</f>
        <v>20416.666666666668</v>
      </c>
      <c r="D23" s="5">
        <f>(((G1/G8)*4.5)*G7)</f>
        <v>1875</v>
      </c>
    </row>
    <row r="24" spans="1:4" x14ac:dyDescent="0.15">
      <c r="A24" s="4">
        <v>23</v>
      </c>
      <c r="B24" s="5">
        <f>(G1/G10)*8</f>
        <v>13333.333333333334</v>
      </c>
      <c r="C24" s="5">
        <f>(((G1/G8)*8)*G7)*8</f>
        <v>26666.666666666668</v>
      </c>
      <c r="D24" s="5">
        <f>(((G1/G8)*5)*G7)</f>
        <v>2083.3333333333335</v>
      </c>
    </row>
    <row r="25" spans="1:4" x14ac:dyDescent="0.15">
      <c r="A25" s="4">
        <v>24</v>
      </c>
      <c r="B25" s="5">
        <f>(G1/G10)*9</f>
        <v>15000</v>
      </c>
      <c r="C25" s="5">
        <f>(((G1/G8)*9)*G7)*9</f>
        <v>33750</v>
      </c>
      <c r="D25" s="5">
        <f>(((G1/G8)*6)*G7)</f>
        <v>2500</v>
      </c>
    </row>
    <row r="26" spans="1:4" x14ac:dyDescent="0.15">
      <c r="A26" s="4">
        <v>25</v>
      </c>
      <c r="B26" s="5">
        <f>(G1/G10)*11</f>
        <v>18333.333333333336</v>
      </c>
      <c r="C26" s="5">
        <f>(((G1/G8)*11)*G7)*11</f>
        <v>50416.666666666672</v>
      </c>
      <c r="D26" s="5">
        <f>(((G1/G8)*7)*G7)</f>
        <v>2916.666666666667</v>
      </c>
    </row>
    <row r="27" spans="1:4" x14ac:dyDescent="0.15">
      <c r="A27" s="4">
        <v>26</v>
      </c>
      <c r="B27" s="5">
        <f>(G1/G10)*13</f>
        <v>21666.666666666668</v>
      </c>
      <c r="C27" s="5">
        <f>(((G1/G8)*13)*G7)*13</f>
        <v>70416.666666666672</v>
      </c>
      <c r="D27" s="5">
        <f>(((G1/G8)*8)*G7)</f>
        <v>3333.3333333333335</v>
      </c>
    </row>
    <row r="28" spans="1:4" x14ac:dyDescent="0.15">
      <c r="A28" s="4">
        <v>27</v>
      </c>
      <c r="B28" s="5">
        <f>(G1/G10)*15</f>
        <v>25000</v>
      </c>
      <c r="C28" s="5">
        <f>(((G1/G8)*15)*G7)*15</f>
        <v>93750</v>
      </c>
      <c r="D28" s="5">
        <f>(((G1/G8)*9)*G7)</f>
        <v>3750</v>
      </c>
    </row>
    <row r="29" spans="1:4" x14ac:dyDescent="0.15">
      <c r="A29" s="4">
        <v>28</v>
      </c>
      <c r="B29" s="5">
        <f>(G1/G10)*20</f>
        <v>33333.333333333336</v>
      </c>
      <c r="C29" s="5">
        <f>(((G1/G8)*20)*G7)*20</f>
        <v>166666.66666666669</v>
      </c>
      <c r="D29" s="5">
        <f>(((G1/G8)*10)*G7)</f>
        <v>4166.666666666667</v>
      </c>
    </row>
    <row r="30" spans="1:4" x14ac:dyDescent="0.15">
      <c r="A30" s="4">
        <v>29</v>
      </c>
      <c r="B30" s="5">
        <f>(G1/G10)*25</f>
        <v>41666.666666666672</v>
      </c>
      <c r="C30" s="5">
        <f>(((G1/G8)*25)*G7)*25</f>
        <v>260416.66666666669</v>
      </c>
      <c r="D30" s="5">
        <f>(((G1/G8)*11)*G7)</f>
        <v>4583.3333333333339</v>
      </c>
    </row>
    <row r="31" spans="1:4" x14ac:dyDescent="0.15">
      <c r="A31" s="4">
        <v>30</v>
      </c>
      <c r="B31" s="5">
        <f>(G1/G10)*30</f>
        <v>50000</v>
      </c>
      <c r="C31" s="5">
        <f>(((G1/G8)*30)*G7)*30</f>
        <v>375000</v>
      </c>
      <c r="D31" s="5">
        <f>(((G1/G8)*12)*G7)</f>
        <v>5000</v>
      </c>
    </row>
    <row r="32" spans="1:4" x14ac:dyDescent="0.15">
      <c r="A32" s="4">
        <v>31</v>
      </c>
      <c r="B32" s="5">
        <f>(G1/G10)*40</f>
        <v>66666.666666666672</v>
      </c>
      <c r="C32" s="5">
        <f>(((G1/G8)*40)*G7)*40</f>
        <v>666666.66666666674</v>
      </c>
      <c r="D32" s="5">
        <f>(((G1/G8)*13)*G7)</f>
        <v>5416.666666666667</v>
      </c>
    </row>
    <row r="33" spans="1:4" x14ac:dyDescent="0.15">
      <c r="A33" s="4">
        <v>32</v>
      </c>
      <c r="B33" s="5">
        <f>(G1/G10)*50</f>
        <v>83333.333333333343</v>
      </c>
      <c r="C33" s="5">
        <f>(((G1/G8)*50)*G7)*50</f>
        <v>1041666.6666666667</v>
      </c>
      <c r="D33" s="5">
        <f>(((G1/G8)*14)*G7)</f>
        <v>5833.3333333333339</v>
      </c>
    </row>
    <row r="34" spans="1:4" x14ac:dyDescent="0.15">
      <c r="A34" s="4">
        <v>33</v>
      </c>
      <c r="B34" s="5">
        <f>(G1/G10)*60</f>
        <v>100000</v>
      </c>
      <c r="C34" s="5">
        <f>(((G1/G8)*60)*G7)*60</f>
        <v>1500000</v>
      </c>
      <c r="D34" s="5">
        <f>(((G1/G8)*15)*G7)</f>
        <v>6250</v>
      </c>
    </row>
    <row r="35" spans="1:4" x14ac:dyDescent="0.15">
      <c r="A35" s="4">
        <v>34</v>
      </c>
      <c r="B35" s="5">
        <f>(G1/G10)*70</f>
        <v>116666.66666666667</v>
      </c>
      <c r="C35" s="5">
        <f>(((G1/G8)*70)*G7)*70</f>
        <v>2041666.6666666667</v>
      </c>
      <c r="D35" s="5">
        <f>(((G1/G8)*16)*G7)</f>
        <v>6666.666666666667</v>
      </c>
    </row>
    <row r="36" spans="1:4" x14ac:dyDescent="0.15">
      <c r="A36" s="4">
        <v>35</v>
      </c>
      <c r="B36" s="5">
        <f>(G1/G10)*80</f>
        <v>133333.33333333334</v>
      </c>
      <c r="C36" s="5">
        <f>(((G1/G8)*80)*G7)*80</f>
        <v>2666666.666666667</v>
      </c>
      <c r="D36" s="5">
        <f>(((G1/G8)*17)*G7)</f>
        <v>7083.3333333333339</v>
      </c>
    </row>
    <row r="37" spans="1:4" x14ac:dyDescent="0.15">
      <c r="A37" s="4">
        <v>36</v>
      </c>
      <c r="B37" s="5">
        <f>(G1/G10)*90</f>
        <v>150000</v>
      </c>
      <c r="C37" s="5">
        <f>(((G1/G8)*90)*G7)*90</f>
        <v>3375000</v>
      </c>
      <c r="D37" s="5">
        <f>(((G1/G8)*18)*G7)</f>
        <v>7500</v>
      </c>
    </row>
    <row r="38" spans="1:4" x14ac:dyDescent="0.15">
      <c r="A38" s="4">
        <v>37</v>
      </c>
      <c r="B38" s="5">
        <f>(G1/G10)*100</f>
        <v>166666.66666666669</v>
      </c>
      <c r="C38" s="5">
        <f>(((G1/G8)*100)*G7)*100</f>
        <v>4166666.666666667</v>
      </c>
      <c r="D38" s="5">
        <f>(((G1/G8)*20)*G7)</f>
        <v>8333.3333333333339</v>
      </c>
    </row>
    <row r="39" spans="1:4" x14ac:dyDescent="0.15">
      <c r="A39" s="4">
        <v>38</v>
      </c>
      <c r="B39" s="5">
        <f>(G1/G10)*110</f>
        <v>183333.33333333334</v>
      </c>
      <c r="C39" s="5">
        <f>(((G1/G8)*110)*G7)*110</f>
        <v>5041666.666666667</v>
      </c>
      <c r="D39" s="5">
        <f>(((G1/G8)*22)*G7)</f>
        <v>9166.6666666666679</v>
      </c>
    </row>
    <row r="40" spans="1:4" x14ac:dyDescent="0.15">
      <c r="A40" s="4">
        <v>39</v>
      </c>
      <c r="B40" s="5">
        <f>(G1/G10)*130</f>
        <v>216666.66666666669</v>
      </c>
      <c r="C40" s="5">
        <f>(((G1/G8)*130)*G7)*130</f>
        <v>7041666.666666667</v>
      </c>
      <c r="D40" s="5">
        <f>(((G1/G8)*25)*G7)</f>
        <v>10416.666666666668</v>
      </c>
    </row>
    <row r="41" spans="1:4" x14ac:dyDescent="0.15">
      <c r="A41" s="4">
        <v>40</v>
      </c>
      <c r="B41" s="5">
        <f>(G1/G10)*150</f>
        <v>250000</v>
      </c>
      <c r="C41" s="5">
        <f>(((G1/G8)*150)*G7)*150</f>
        <v>9375000</v>
      </c>
      <c r="D41" s="5">
        <f>(((G1/G8)*28)*G7)</f>
        <v>11666.666666666668</v>
      </c>
    </row>
    <row r="42" spans="1:4" x14ac:dyDescent="0.15">
      <c r="A42" s="4">
        <v>41</v>
      </c>
      <c r="B42" s="5" t="s">
        <v>9</v>
      </c>
      <c r="C42" s="5" t="s">
        <v>9</v>
      </c>
      <c r="D42" s="5">
        <f>(((G1/G8)*30)*G7)</f>
        <v>12500</v>
      </c>
    </row>
    <row r="43" spans="1:4" x14ac:dyDescent="0.15">
      <c r="A43" s="4">
        <v>42</v>
      </c>
      <c r="B43" s="5" t="s">
        <v>9</v>
      </c>
      <c r="C43" s="5" t="s">
        <v>9</v>
      </c>
      <c r="D43" s="5">
        <f>(((G1/G8)*33)*G7)</f>
        <v>13750</v>
      </c>
    </row>
    <row r="44" spans="1:4" x14ac:dyDescent="0.15">
      <c r="A44" s="4">
        <v>43</v>
      </c>
      <c r="B44" s="5" t="s">
        <v>9</v>
      </c>
      <c r="C44" s="5" t="s">
        <v>9</v>
      </c>
      <c r="D44" s="5">
        <f>(((G1/G8)*35)*G7)</f>
        <v>14583.333333333334</v>
      </c>
    </row>
    <row r="45" spans="1:4" x14ac:dyDescent="0.15">
      <c r="A45" s="4">
        <v>44</v>
      </c>
      <c r="B45" s="5" t="s">
        <v>9</v>
      </c>
      <c r="C45" s="5" t="s">
        <v>9</v>
      </c>
      <c r="D45" s="5">
        <f>(((G1/G8)*40)*G7)</f>
        <v>16666.666666666668</v>
      </c>
    </row>
    <row r="46" spans="1:4" x14ac:dyDescent="0.15">
      <c r="A46" s="4">
        <v>45</v>
      </c>
      <c r="B46" s="5" t="s">
        <v>9</v>
      </c>
      <c r="C46" s="5" t="s">
        <v>9</v>
      </c>
      <c r="D46" s="5">
        <f>(((G1/G8)*45)*G7)</f>
        <v>18750</v>
      </c>
    </row>
    <row r="47" spans="1:4" x14ac:dyDescent="0.15">
      <c r="A47" s="4">
        <v>46</v>
      </c>
      <c r="B47" s="5" t="s">
        <v>9</v>
      </c>
      <c r="C47" s="5" t="s">
        <v>9</v>
      </c>
      <c r="D47" s="5">
        <f>(((G1/G8)*50)*G7)</f>
        <v>20833.333333333336</v>
      </c>
    </row>
    <row r="48" spans="1:4" x14ac:dyDescent="0.15">
      <c r="A48" s="4">
        <v>47</v>
      </c>
      <c r="B48" s="5" t="s">
        <v>9</v>
      </c>
      <c r="C48" s="5" t="s">
        <v>9</v>
      </c>
      <c r="D48" s="5">
        <f>(((G1/G8)*55)*G7)</f>
        <v>22916.666666666668</v>
      </c>
    </row>
    <row r="49" spans="1:4" x14ac:dyDescent="0.15">
      <c r="A49" s="4">
        <v>48</v>
      </c>
      <c r="B49" s="5" t="s">
        <v>9</v>
      </c>
      <c r="C49" s="5" t="s">
        <v>9</v>
      </c>
      <c r="D49" s="5">
        <f>(((G1/G8)*60)*G7)</f>
        <v>25000</v>
      </c>
    </row>
    <row r="50" spans="1:4" x14ac:dyDescent="0.15">
      <c r="A50" s="4">
        <v>49</v>
      </c>
      <c r="B50" s="5" t="s">
        <v>9</v>
      </c>
      <c r="C50" s="5" t="s">
        <v>9</v>
      </c>
      <c r="D50" s="5">
        <f>(((G1/G8)*65)*G7)</f>
        <v>27083.333333333336</v>
      </c>
    </row>
    <row r="51" spans="1:4" x14ac:dyDescent="0.15">
      <c r="A51" s="4">
        <v>50</v>
      </c>
      <c r="B51" s="5" t="s">
        <v>9</v>
      </c>
      <c r="C51" s="5" t="s">
        <v>9</v>
      </c>
      <c r="D51" s="5">
        <f>(((G1/G8)*70)*G7)</f>
        <v>29166.666666666668</v>
      </c>
    </row>
    <row r="52" spans="1:4" x14ac:dyDescent="0.15">
      <c r="A52" s="4">
        <v>51</v>
      </c>
      <c r="B52" s="5" t="s">
        <v>9</v>
      </c>
      <c r="C52" s="5" t="s">
        <v>9</v>
      </c>
      <c r="D52" s="5">
        <f>(((G1/G8)*75)*G7)</f>
        <v>31250</v>
      </c>
    </row>
    <row r="53" spans="1:4" x14ac:dyDescent="0.15">
      <c r="A53" s="4">
        <v>52</v>
      </c>
      <c r="B53" s="5" t="s">
        <v>9</v>
      </c>
      <c r="C53" s="5" t="s">
        <v>9</v>
      </c>
      <c r="D53" s="5">
        <f>(((G1/G8)*80)*G7)</f>
        <v>33333.333333333336</v>
      </c>
    </row>
    <row r="54" spans="1:4" x14ac:dyDescent="0.15">
      <c r="A54" s="4">
        <v>53</v>
      </c>
      <c r="B54" s="5" t="s">
        <v>9</v>
      </c>
      <c r="C54" s="5" t="s">
        <v>9</v>
      </c>
      <c r="D54" s="5">
        <f>(((G1/G8)*85)*G7)</f>
        <v>35416.666666666672</v>
      </c>
    </row>
    <row r="55" spans="1:4" x14ac:dyDescent="0.15">
      <c r="A55" s="4">
        <v>54</v>
      </c>
      <c r="B55" s="5" t="s">
        <v>9</v>
      </c>
      <c r="C55" s="5" t="s">
        <v>9</v>
      </c>
      <c r="D55" s="5">
        <f>(((G1/G8)*90)*G7)</f>
        <v>37500</v>
      </c>
    </row>
    <row r="56" spans="1:4" x14ac:dyDescent="0.15">
      <c r="A56" s="4">
        <v>55</v>
      </c>
      <c r="B56" s="5" t="s">
        <v>9</v>
      </c>
      <c r="C56" s="5" t="s">
        <v>9</v>
      </c>
      <c r="D56" s="5">
        <f>(((G1/G8)*95)*G7)</f>
        <v>39583.333333333336</v>
      </c>
    </row>
    <row r="57" spans="1:4" x14ac:dyDescent="0.15">
      <c r="A57" s="4">
        <v>56</v>
      </c>
      <c r="B57" s="5" t="s">
        <v>9</v>
      </c>
      <c r="C57" s="5" t="s">
        <v>9</v>
      </c>
      <c r="D57" s="5">
        <f>(((G1/G8)*100)*G7)</f>
        <v>41666.666666666672</v>
      </c>
    </row>
    <row r="58" spans="1:4" x14ac:dyDescent="0.15">
      <c r="A58" s="4">
        <v>57</v>
      </c>
      <c r="B58" s="5" t="s">
        <v>9</v>
      </c>
      <c r="C58" s="5" t="s">
        <v>9</v>
      </c>
      <c r="D58" s="5">
        <f>(((G1/G8)*105)*G7)</f>
        <v>43750</v>
      </c>
    </row>
    <row r="59" spans="1:4" x14ac:dyDescent="0.15">
      <c r="A59" s="4">
        <v>58</v>
      </c>
      <c r="B59" s="5" t="s">
        <v>9</v>
      </c>
      <c r="C59" s="5" t="s">
        <v>9</v>
      </c>
      <c r="D59" s="5">
        <f>(((G1/G8)*110)*G7)</f>
        <v>45833.333333333336</v>
      </c>
    </row>
    <row r="60" spans="1:4" x14ac:dyDescent="0.15">
      <c r="A60" s="4">
        <v>59</v>
      </c>
      <c r="B60" s="5" t="s">
        <v>9</v>
      </c>
      <c r="C60" s="5" t="s">
        <v>9</v>
      </c>
      <c r="D60" s="5">
        <f>(((G1/G8)*115)*G7)</f>
        <v>47916.666666666672</v>
      </c>
    </row>
    <row r="61" spans="1:4" x14ac:dyDescent="0.15">
      <c r="A61" s="4">
        <v>60</v>
      </c>
      <c r="B61" s="5" t="s">
        <v>9</v>
      </c>
      <c r="C61" s="5" t="s">
        <v>9</v>
      </c>
      <c r="D61" s="5">
        <f>(((G1/G8)*120)*G7)</f>
        <v>50000</v>
      </c>
    </row>
    <row r="62" spans="1:4" x14ac:dyDescent="0.15">
      <c r="A62" s="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Naksh Deep Singh Sandhu</cp:lastModifiedBy>
  <cp:revision>32</cp:revision>
  <dcterms:created xsi:type="dcterms:W3CDTF">2024-09-18T00:06:28Z</dcterms:created>
  <dcterms:modified xsi:type="dcterms:W3CDTF">2025-05-21T12:38:54Z</dcterms:modified>
  <dc:language>en-IN</dc:language>
</cp:coreProperties>
</file>